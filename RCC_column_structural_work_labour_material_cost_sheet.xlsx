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Estimat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'BOQ Estimate'!$A$4:$H$15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  <color rgb="00FFFFFF"/>
    </font>
    <font>
      <b val="1"/>
    </font>
    <font>
      <b val="1"/>
      <color rgb="00A61C2D"/>
    </font>
    <font>
      <color rgb="007F0000"/>
    </font>
    <font>
      <color rgb="00333333"/>
    </font>
  </fonts>
  <fills count="7">
    <fill>
      <patternFill/>
    </fill>
    <fill>
      <patternFill patternType="gray125"/>
    </fill>
    <fill>
      <patternFill patternType="solid">
        <fgColor rgb="0020364D"/>
      </patternFill>
    </fill>
    <fill>
      <patternFill patternType="solid">
        <fgColor rgb="00356A86"/>
      </patternFill>
    </fill>
    <fill>
      <patternFill patternType="solid">
        <fgColor rgb="00FCE4D6"/>
      </patternFill>
    </fill>
    <fill>
      <patternFill patternType="solid">
        <fgColor rgb="00DDEB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164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24" customWidth="1" min="3" max="3"/>
    <col width="24" customWidth="1" min="4" max="4"/>
    <col width="18" customWidth="1" min="5" max="5"/>
    <col width="17" customWidth="1" min="6" max="6"/>
    <col width="17" customWidth="1" min="7" max="7"/>
    <col width="48" customWidth="1" min="8" max="8"/>
  </cols>
  <sheetData>
    <row r="1" ht="34" customHeight="1">
      <c r="A1" s="1" t="inlineStr">
        <is>
          <t>RCC COLUMN / STRUCTURAL ALTERATION – LABOUR &amp; MATERIAL COST ESTIMATE</t>
        </is>
      </c>
    </row>
    <row r="2">
      <c r="A2" s="2" t="inlineStr">
        <is>
          <t>Indicative budget for Nashik, Maharashtra | INR | Based on photo and limited information; not a structural design or contractor quotation</t>
        </is>
      </c>
    </row>
    <row r="4" ht="45" customHeight="1">
      <c r="A4" s="3" t="inlineStr">
        <is>
          <t>Sr.</t>
        </is>
      </c>
      <c r="B4" s="3" t="inlineStr">
        <is>
          <t>Stage / Work Description</t>
        </is>
      </c>
      <c r="C4" s="3" t="inlineStr">
        <is>
          <t>Material / Equipment Allowance (₹)</t>
        </is>
      </c>
      <c r="D4" s="3" t="inlineStr">
        <is>
          <t>Labour / Professional Fee (₹)</t>
        </is>
      </c>
      <c r="E4" s="3" t="inlineStr">
        <is>
          <t>Other / Disposal (₹)</t>
        </is>
      </c>
      <c r="F4" s="3" t="inlineStr">
        <is>
          <t>Low Total (₹)</t>
        </is>
      </c>
      <c r="G4" s="3" t="inlineStr">
        <is>
          <t>High Total (₹)</t>
        </is>
      </c>
      <c r="H4" s="3" t="inlineStr">
        <is>
          <t>Notes / Assumptions</t>
        </is>
      </c>
    </row>
    <row r="5">
      <c r="A5" s="4" t="n">
        <v>1</v>
      </c>
      <c r="B5" s="4" t="inlineStr">
        <is>
          <t>Structural engineer site inspection, measurements, review of available drawings</t>
        </is>
      </c>
      <c r="C5" s="5" t="n">
        <v>0</v>
      </c>
      <c r="D5" s="5" t="n">
        <v>5000</v>
      </c>
      <c r="E5" s="5" t="n">
        <v>0</v>
      </c>
      <c r="F5" s="5">
        <f>C5+D5+E5</f>
        <v/>
      </c>
      <c r="G5" s="5">
        <f>C5+D5+E5</f>
        <v/>
      </c>
      <c r="H5" s="4" t="inlineStr">
        <is>
          <t>Written site assessment required</t>
        </is>
      </c>
    </row>
    <row r="6">
      <c r="A6" s="4" t="n">
        <v>2</v>
      </c>
      <c r="B6" s="4" t="inlineStr">
        <is>
          <t>Structural calculations, feasibility and written strengthening / load-transfer design</t>
        </is>
      </c>
      <c r="C6" s="5" t="n">
        <v>0</v>
      </c>
      <c r="D6" s="5" t="n">
        <v>15000</v>
      </c>
      <c r="E6" s="5" t="n">
        <v>0</v>
      </c>
      <c r="F6" s="5">
        <f>C6+D6+E6</f>
        <v/>
      </c>
      <c r="G6" s="5">
        <f>C6+D6+E6</f>
        <v/>
      </c>
      <c r="H6" s="4" t="inlineStr">
        <is>
          <t>Fee varies with complexity</t>
        </is>
      </c>
    </row>
    <row r="7">
      <c r="A7" s="4" t="n">
        <v>3</v>
      </c>
      <c r="B7" s="4" t="inlineStr">
        <is>
          <t>Temporary shoring / propping system: hire, base plates, bracing and installation materials</t>
        </is>
      </c>
      <c r="C7" s="5" t="n">
        <v>12000</v>
      </c>
      <c r="D7" s="5" t="n">
        <v>8000</v>
      </c>
      <c r="E7" s="5" t="n">
        <v>0</v>
      </c>
      <c r="F7" s="5">
        <f>C7+D7+E7</f>
        <v/>
      </c>
      <c r="G7" s="5">
        <f>C7+D7+E7</f>
        <v/>
      </c>
      <c r="H7" s="4" t="inlineStr">
        <is>
          <t>Engineer to specify; may need support through lower floors</t>
        </is>
      </c>
    </row>
    <row r="8">
      <c r="A8" s="4" t="n">
        <v>4</v>
      </c>
      <c r="B8" s="4" t="inlineStr">
        <is>
          <t>Site barricading, floor/wall protection, dust control and PPE</t>
        </is>
      </c>
      <c r="C8" s="5" t="n">
        <v>4000</v>
      </c>
      <c r="D8" s="5" t="n">
        <v>2500</v>
      </c>
      <c r="E8" s="5" t="n">
        <v>0</v>
      </c>
      <c r="F8" s="5">
        <f>C8+D8+E8</f>
        <v/>
      </c>
      <c r="G8" s="5">
        <f>C8+D8+E8</f>
        <v/>
      </c>
      <c r="H8" s="4" t="inlineStr">
        <is>
          <t>Masks, eye/ear protection, sheets, barriers</t>
        </is>
      </c>
    </row>
    <row r="9">
      <c r="A9" s="4" t="n">
        <v>5</v>
      </c>
      <c r="B9" s="4" t="inlineStr">
        <is>
          <t>Controlled concrete/steel cutting and demolition equipment allowance</t>
        </is>
      </c>
      <c r="C9" s="5" t="n">
        <v>8000</v>
      </c>
      <c r="D9" s="5" t="n">
        <v>10000</v>
      </c>
      <c r="E9" s="5" t="n">
        <v>0</v>
      </c>
      <c r="F9" s="5">
        <f>C9+D9+E9</f>
        <v/>
      </c>
      <c r="G9" s="5">
        <f>C9+D9+E9</f>
        <v/>
      </c>
      <c r="H9" s="4" t="inlineStr">
        <is>
          <t>Only if engineer approves; no DIY cutting</t>
        </is>
      </c>
    </row>
    <row r="10">
      <c r="A10" s="4" t="n">
        <v>6</v>
      </c>
      <c r="B10" s="4" t="inlineStr">
        <is>
          <t>Skilled demolition / structural crew allowance</t>
        </is>
      </c>
      <c r="C10" s="5" t="n">
        <v>0</v>
      </c>
      <c r="D10" s="5" t="n">
        <v>12000</v>
      </c>
      <c r="E10" s="5" t="n">
        <v>0</v>
      </c>
      <c r="F10" s="5">
        <f>C10+D10+E10</f>
        <v/>
      </c>
      <c r="G10" s="5">
        <f>C10+D10+E10</f>
        <v/>
      </c>
      <c r="H10" s="4" t="inlineStr">
        <is>
          <t>Crew/day allowance; actual duration site-dependent</t>
        </is>
      </c>
    </row>
    <row r="11">
      <c r="A11" s="4" t="n">
        <v>7</v>
      </c>
      <c r="B11" s="4" t="inlineStr">
        <is>
          <t>Debris loading, carrying and disposal</t>
        </is>
      </c>
      <c r="C11" s="5" t="n">
        <v>0</v>
      </c>
      <c r="D11" s="5" t="n">
        <v>3500</v>
      </c>
      <c r="E11" s="5" t="n">
        <v>4500</v>
      </c>
      <c r="F11" s="5">
        <f>C11+D11+E11</f>
        <v/>
      </c>
      <c r="G11" s="5">
        <f>C11+D11+E11</f>
        <v/>
      </c>
      <c r="H11" s="4" t="inlineStr">
        <is>
          <t>Access and quantity affect price</t>
        </is>
      </c>
    </row>
    <row r="12">
      <c r="A12" s="4" t="n">
        <v>8</v>
      </c>
      <c r="B12" s="4" t="inlineStr">
        <is>
          <t>Electrical inspection, isolation and minor wire relocation allowance</t>
        </is>
      </c>
      <c r="C12" s="5" t="n">
        <v>2000</v>
      </c>
      <c r="D12" s="5" t="n">
        <v>2500</v>
      </c>
      <c r="E12" s="5" t="n">
        <v>0</v>
      </c>
      <c r="F12" s="5">
        <f>C12+D12+E12</f>
        <v/>
      </c>
      <c r="G12" s="5">
        <f>C12+D12+E12</f>
        <v/>
      </c>
      <c r="H12" s="4" t="inlineStr">
        <is>
          <t>Electrician to verify before work</t>
        </is>
      </c>
    </row>
    <row r="13">
      <c r="A13" s="4" t="n">
        <v>9</v>
      </c>
      <c r="B13" s="4" t="inlineStr">
        <is>
          <t>Minor patching: mortar, repair compound, mesh, plaster and corner beads</t>
        </is>
      </c>
      <c r="C13" s="5" t="n">
        <v>5000</v>
      </c>
      <c r="D13" s="5" t="n">
        <v>5000</v>
      </c>
      <c r="E13" s="5" t="n">
        <v>0</v>
      </c>
      <c r="F13" s="5">
        <f>C13+D13+E13</f>
        <v/>
      </c>
      <c r="G13" s="5">
        <f>C13+D13+E13</f>
        <v/>
      </c>
      <c r="H13" s="4" t="inlineStr">
        <is>
          <t>Only for local surface reinstatement</t>
        </is>
      </c>
    </row>
    <row r="14">
      <c r="A14" s="4" t="n">
        <v>10</v>
      </c>
      <c r="B14" s="4" t="inlineStr">
        <is>
          <t>Primer, paint and finishing of affected wall/ceiling areas</t>
        </is>
      </c>
      <c r="C14" s="5" t="n">
        <v>3500</v>
      </c>
      <c r="D14" s="5" t="n">
        <v>3000</v>
      </c>
      <c r="E14" s="5" t="n">
        <v>0</v>
      </c>
      <c r="F14" s="5">
        <f>C14+D14+E14</f>
        <v/>
      </c>
      <c r="G14" s="5">
        <f>C14+D14+E14</f>
        <v/>
      </c>
      <c r="H14" s="4" t="inlineStr">
        <is>
          <t>Area-dependent</t>
        </is>
      </c>
    </row>
    <row r="15">
      <c r="A15" s="4" t="n">
        <v>11</v>
      </c>
      <c r="B15" s="4" t="inlineStr">
        <is>
          <t>Post-work engineer inspection / completion note</t>
        </is>
      </c>
      <c r="C15" s="5" t="n">
        <v>0</v>
      </c>
      <c r="D15" s="5" t="n">
        <v>5000</v>
      </c>
      <c r="E15" s="5" t="n">
        <v>0</v>
      </c>
      <c r="F15" s="5">
        <f>C15+D15+E15</f>
        <v/>
      </c>
      <c r="G15" s="5">
        <f>C15+D15+E15</f>
        <v/>
      </c>
      <c r="H15" s="4" t="inlineStr">
        <is>
          <t>Before removing temporary supports</t>
        </is>
      </c>
    </row>
    <row r="16" ht="52" customHeight="1">
      <c r="A16" s="6" t="n"/>
      <c r="B16" s="6" t="inlineStr">
        <is>
          <t>OPTIONAL / SITE-SPECIFIC: Structural steel transfer beam, connections, new supports/foundation and installation</t>
        </is>
      </c>
      <c r="C16" s="6" t="inlineStr">
        <is>
          <t>TBD after design</t>
        </is>
      </c>
      <c r="D16" s="6" t="inlineStr">
        <is>
          <t>TBD after design</t>
        </is>
      </c>
      <c r="E16" s="6" t="n"/>
      <c r="F16" s="6" t="inlineStr">
        <is>
          <t>NOT INCLUDED</t>
        </is>
      </c>
      <c r="G16" s="6" t="inlineStr">
        <is>
          <t>NOT INCLUDED</t>
        </is>
      </c>
      <c r="H16" s="6" t="inlineStr">
        <is>
          <t>Potentially the largest cost; engineer's design and measured quantities required.</t>
        </is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7" t="inlineStr">
        <is>
          <t>Base estimate subtotal (excludes major transfer beam / new foundations)</t>
        </is>
      </c>
      <c r="C18" s="7" t="n"/>
      <c r="D18" s="7" t="n"/>
      <c r="E18" s="7" t="n"/>
      <c r="F18" s="8">
        <f>SUM(F5:F15)</f>
        <v/>
      </c>
      <c r="G18" s="8">
        <f>SUM(G5:G15)</f>
        <v/>
      </c>
      <c r="H18" s="4" t="n"/>
    </row>
    <row r="19">
      <c r="A19" s="4" t="n"/>
      <c r="B19" s="7" t="inlineStr">
        <is>
          <t>Contingency allowance (15%)</t>
        </is>
      </c>
      <c r="C19" s="7" t="n"/>
      <c r="D19" s="7" t="n"/>
      <c r="E19" s="7" t="n"/>
      <c r="F19" s="8">
        <f>F18*15%</f>
        <v/>
      </c>
      <c r="G19" s="8">
        <f>G18*15%</f>
        <v/>
      </c>
      <c r="H19" s="4" t="n"/>
    </row>
    <row r="20">
      <c r="A20" s="4" t="n"/>
      <c r="B20" s="9" t="inlineStr">
        <is>
          <t>Indicative base total including contingency</t>
        </is>
      </c>
      <c r="C20" s="9" t="n"/>
      <c r="D20" s="9" t="n"/>
      <c r="E20" s="9" t="n"/>
      <c r="F20" s="10">
        <f>F18+F19</f>
        <v/>
      </c>
      <c r="G20" s="10">
        <f>G18+G19</f>
        <v/>
      </c>
      <c r="H20" s="4" t="n"/>
    </row>
    <row r="22">
      <c r="A22" s="11" t="inlineStr">
        <is>
          <t>IMPORTANT: The above line-item allowances are preliminary placeholders. Replace with engineer/contractor quotations after a site visit.</t>
        </is>
      </c>
    </row>
    <row r="24" ht="36" customHeight="1">
      <c r="A24" s="12" t="inlineStr">
        <is>
          <t>• Safety: Photo shows ceiling/plaster distress and visible beam-like members; it cannot confirm the structural system or whether the column can be removed.</t>
        </is>
      </c>
    </row>
    <row r="25" ht="36" customHeight="1">
      <c r="A25" s="12" t="inlineStr">
        <is>
          <t>• Do not remove or cut an RCC column, beam, reinforcement, or connected member until a qualified structural engineer has inspected the site and issued a signed design/method statement.</t>
        </is>
      </c>
    </row>
    <row r="26" ht="36" customHeight="1">
      <c r="A26" s="12" t="inlineStr">
        <is>
          <t>• If a transfer beam, steel frame, new columns or foundations are required, obtain a separate engineered BOQ. These major structural works are deliberately excluded from the base total.</t>
        </is>
      </c>
    </row>
    <row r="27" ht="36" customHeight="1">
      <c r="A27" s="13" t="inlineStr">
        <is>
          <t>• Estimate assumes a small work area and ordinary access. Taxes, permissions, extensive electrical work, hidden damage, night work, and major structural replacement are excluded.</t>
        </is>
      </c>
    </row>
    <row r="28" ht="36" customHeight="1">
      <c r="A28" s="12" t="inlineStr">
        <is>
          <t>• Temporary supports must be designed and installed under engineer supervision; do not assume one floor's props are enough. Consider the load path through floors below.</t>
        </is>
      </c>
    </row>
  </sheetData>
  <autoFilter ref="A4:H15"/>
  <mergeCells count="8">
    <mergeCell ref="A26:H26"/>
    <mergeCell ref="A25:H25"/>
    <mergeCell ref="A24:H24"/>
    <mergeCell ref="A2:H2"/>
    <mergeCell ref="A28:H28"/>
    <mergeCell ref="A1:H1"/>
    <mergeCell ref="A27:H27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4" t="inlineStr">
        <is>
          <t>COST SUMMARY</t>
        </is>
      </c>
    </row>
    <row r="3">
      <c r="A3" s="15" t="inlineStr">
        <is>
          <t>Category</t>
        </is>
      </c>
      <c r="B3" s="15" t="inlineStr">
        <is>
          <t>Low Estimate (₹)</t>
        </is>
      </c>
      <c r="C3" s="15" t="inlineStr">
        <is>
          <t>High Estimate (₹)</t>
        </is>
      </c>
    </row>
    <row r="4">
      <c r="A4" s="16" t="inlineStr">
        <is>
          <t>Materials / equipment allowances</t>
        </is>
      </c>
      <c r="B4" s="17">
        <f>SUM('BOQ Estimate'!C5:C15)</f>
        <v/>
      </c>
      <c r="C4" s="17">
        <f>SUM('BOQ Estimate'!C5:C15)</f>
        <v/>
      </c>
    </row>
    <row r="5">
      <c r="A5" s="16" t="inlineStr">
        <is>
          <t>Labour / professional fees</t>
        </is>
      </c>
      <c r="B5" s="17">
        <f>SUM('BOQ Estimate'!D5:D15)</f>
        <v/>
      </c>
      <c r="C5" s="17">
        <f>SUM('BOQ Estimate'!D5:D15)</f>
        <v/>
      </c>
    </row>
    <row r="6">
      <c r="A6" s="16" t="inlineStr">
        <is>
          <t>Other / disposal</t>
        </is>
      </c>
      <c r="B6" s="17">
        <f>SUM('BOQ Estimate'!E5:E15)</f>
        <v/>
      </c>
      <c r="C6" s="17">
        <f>SUM('BOQ Estimate'!E5:E15)</f>
        <v/>
      </c>
    </row>
    <row r="7">
      <c r="A7" s="16" t="inlineStr">
        <is>
          <t>Base subtotal</t>
        </is>
      </c>
      <c r="B7" s="17">
        <f>'BOQ Estimate'!F18</f>
        <v/>
      </c>
      <c r="C7" s="17">
        <f>'BOQ Estimate'!G18</f>
        <v/>
      </c>
    </row>
    <row r="8">
      <c r="A8" s="16" t="inlineStr">
        <is>
          <t>Contingency 15%</t>
        </is>
      </c>
      <c r="B8" s="17">
        <f>'BOQ Estimate'!F19</f>
        <v/>
      </c>
      <c r="C8" s="17">
        <f>'BOQ Estimate'!G19</f>
        <v/>
      </c>
    </row>
    <row r="9">
      <c r="A9" s="18" t="inlineStr">
        <is>
          <t>Base total (major structural transfer work excluded)</t>
        </is>
      </c>
      <c r="B9" s="19">
        <f>'BOQ Estimate'!F20</f>
        <v/>
      </c>
      <c r="C9" s="19">
        <f>'BOQ Estimate'!G20</f>
        <v/>
      </c>
    </row>
    <row r="10">
      <c r="A10" s="16" t="inlineStr">
        <is>
          <t>Major structural steel / new supports / foundations</t>
        </is>
      </c>
      <c r="B10" s="16" t="inlineStr">
        <is>
          <t>TBD after design</t>
        </is>
      </c>
      <c r="C10" s="16" t="inlineStr">
        <is>
          <t>TBD after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2026-10-26T12:33:33Z</dcterms:created>
  <dcterms:modified xmlns:dcterms="http://purl.org/dc/terms/" xmlns:xsi="http://www.w3.org/2001/XMLSchema-instance" xsi:type="dcterms:W3CDTF">2026-10-26T12:33:33Z</dcterms:modified>
</cp:coreProperties>
</file>